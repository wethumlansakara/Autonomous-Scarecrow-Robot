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NDCSAI\IOT &amp; Robotics Project\"/>
    </mc:Choice>
  </mc:AlternateContent>
  <xr:revisionPtr revIDLastSave="0" documentId="13_ncr:1_{8B9A7E24-FCCD-46EC-925F-F4EAC52627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M Structure" sheetId="1" r:id="rId1"/>
    <sheet name="P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38" i="1"/>
  <c r="E37" i="1"/>
  <c r="E13" i="1"/>
  <c r="E17" i="1"/>
  <c r="E16" i="1"/>
  <c r="E15" i="1"/>
  <c r="E14" i="1"/>
  <c r="E12" i="1"/>
  <c r="E11" i="1"/>
  <c r="E10" i="1"/>
  <c r="E9" i="1"/>
  <c r="E8" i="1"/>
  <c r="E7" i="1"/>
  <c r="E6" i="1"/>
  <c r="E5" i="1"/>
  <c r="E4" i="1"/>
  <c r="E3" i="1"/>
  <c r="E18" i="1" l="1"/>
</calcChain>
</file>

<file path=xl/sharedStrings.xml><?xml version="1.0" encoding="utf-8"?>
<sst xmlns="http://schemas.openxmlformats.org/spreadsheetml/2006/main" count="81" uniqueCount="74">
  <si>
    <t>Item No</t>
  </si>
  <si>
    <t>Description</t>
  </si>
  <si>
    <t>Units</t>
  </si>
  <si>
    <t>Unit Price</t>
  </si>
  <si>
    <t>Total Price</t>
  </si>
  <si>
    <t>Core Components</t>
  </si>
  <si>
    <t>Tools</t>
  </si>
  <si>
    <t>L298N Motor Driver Module</t>
  </si>
  <si>
    <t>Power Switch</t>
  </si>
  <si>
    <t>Digital</t>
  </si>
  <si>
    <t>DC Motors</t>
  </si>
  <si>
    <t>Screw driver set</t>
  </si>
  <si>
    <t>Digital Mutlimeter</t>
  </si>
  <si>
    <t>Solder Wire (0.8mm 50g)</t>
  </si>
  <si>
    <t>Soldering Paste(10cc Flux)</t>
  </si>
  <si>
    <t>Soldering Iron(Adjustable Temp-60W)</t>
  </si>
  <si>
    <t>Micro USB Data Cable</t>
  </si>
  <si>
    <t>Dot Board(DIY 6X)</t>
  </si>
  <si>
    <t>Heat Shrink 2M</t>
  </si>
  <si>
    <t>Already Have - Yellow</t>
  </si>
  <si>
    <t>Pin Header (male)</t>
  </si>
  <si>
    <t>Circuit Wire 1M</t>
  </si>
  <si>
    <t>Total Price:</t>
  </si>
  <si>
    <t>Analog</t>
  </si>
  <si>
    <t>Power</t>
  </si>
  <si>
    <t>5V</t>
  </si>
  <si>
    <t>GND</t>
  </si>
  <si>
    <t>3.3V</t>
  </si>
  <si>
    <t>DC Buck Converter (LM2596)</t>
  </si>
  <si>
    <t>D2</t>
  </si>
  <si>
    <t>D3</t>
  </si>
  <si>
    <t>D6</t>
  </si>
  <si>
    <t>D4</t>
  </si>
  <si>
    <t>D5</t>
  </si>
  <si>
    <t>D7</t>
  </si>
  <si>
    <t>D8</t>
  </si>
  <si>
    <t>Arduino Uno</t>
  </si>
  <si>
    <t>3.3V 5V Bi-Directional Logic Level Shifter Module</t>
  </si>
  <si>
    <t>Robot Chassis</t>
  </si>
  <si>
    <t xml:space="preserve">Wheel </t>
  </si>
  <si>
    <t xml:space="preserve"> 5-Bit Line Hunting Sensor Follower Module</t>
  </si>
  <si>
    <t>HC-SR501 PIR Sensor Module</t>
  </si>
  <si>
    <t>Servo Motor</t>
  </si>
  <si>
    <t>Ultrasonic Sensor</t>
  </si>
  <si>
    <t>Mini Buzzer</t>
  </si>
  <si>
    <t>NodeMCU ESP32 WiFi Bluetooth Dual Mode IoT Dev Board</t>
  </si>
  <si>
    <t>Battery 18650 3.7V LiPo 3000mAh</t>
  </si>
  <si>
    <t>Battery Holder 18650 3 Series</t>
  </si>
  <si>
    <t>D9</t>
  </si>
  <si>
    <t>D10</t>
  </si>
  <si>
    <t>D11</t>
  </si>
  <si>
    <t>L298N #1 Input</t>
  </si>
  <si>
    <t>L298N #1 Enable</t>
  </si>
  <si>
    <t>L298N #2 Input</t>
  </si>
  <si>
    <t>D12</t>
  </si>
  <si>
    <t>D13</t>
  </si>
  <si>
    <t>A0-A4</t>
  </si>
  <si>
    <t>Line Sensors</t>
  </si>
  <si>
    <t>PIR Sensor</t>
  </si>
  <si>
    <t>Ultrasonic TRIG</t>
  </si>
  <si>
    <t>Ultrasonic ECHO</t>
  </si>
  <si>
    <t>A5</t>
  </si>
  <si>
    <t>400TP Project Board Breadboard Solderless</t>
  </si>
  <si>
    <t>Buzzer</t>
  </si>
  <si>
    <t>ESP32</t>
  </si>
  <si>
    <t>Sensors, Servo, Buzzer, ESP32</t>
  </si>
  <si>
    <t>D16</t>
  </si>
  <si>
    <t>D17</t>
  </si>
  <si>
    <t>Arduino Digital Pin 4</t>
  </si>
  <si>
    <t>Arduino Digital Pin 2</t>
  </si>
  <si>
    <t>D25</t>
  </si>
  <si>
    <t>D26</t>
  </si>
  <si>
    <t>D27</t>
  </si>
  <si>
    <t>L298N #2 Enable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</si>
</sst>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20108</xdr:colOff>
      <xdr:row>0</xdr:row>
      <xdr:rowOff>142875</xdr:rowOff>
    </xdr:from>
    <xdr:to>
      <xdr:col>21</xdr:col>
      <xdr:colOff>592362</xdr:colOff>
      <xdr:row>32</xdr:row>
      <xdr:rowOff>5319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3004AC-A096-F328-C216-25356E2B5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2858" y="142875"/>
          <a:ext cx="6684129" cy="5704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opLeftCell="A9" workbookViewId="0">
      <selection activeCell="B37" sqref="B37"/>
    </sheetView>
  </sheetViews>
  <sheetFormatPr defaultRowHeight="14.4" x14ac:dyDescent="0.3"/>
  <cols>
    <col min="1" max="1" width="10" customWidth="1"/>
    <col min="2" max="2" width="49.77734375" bestFit="1" customWidth="1"/>
    <col min="3" max="3" width="10" customWidth="1"/>
    <col min="4" max="5" width="15" customWidth="1"/>
  </cols>
  <sheetData>
    <row r="1" spans="1:12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ht="18" x14ac:dyDescent="0.35">
      <c r="A2" s="20" t="s">
        <v>5</v>
      </c>
      <c r="B2" s="21"/>
      <c r="C2" s="21"/>
      <c r="D2" s="21"/>
      <c r="E2" s="21"/>
    </row>
    <row r="3" spans="1:12" x14ac:dyDescent="0.3">
      <c r="A3">
        <v>1</v>
      </c>
      <c r="B3" t="s">
        <v>36</v>
      </c>
      <c r="C3">
        <v>1</v>
      </c>
      <c r="D3">
        <v>2550</v>
      </c>
      <c r="E3">
        <f>C3*D3</f>
        <v>2550</v>
      </c>
    </row>
    <row r="4" spans="1:12" x14ac:dyDescent="0.3">
      <c r="A4">
        <v>2</v>
      </c>
      <c r="B4" t="s">
        <v>37</v>
      </c>
      <c r="C4">
        <v>1</v>
      </c>
      <c r="D4">
        <v>110</v>
      </c>
      <c r="E4">
        <f t="shared" ref="E4:E17" si="0">C4*D4</f>
        <v>110</v>
      </c>
    </row>
    <row r="5" spans="1:12" x14ac:dyDescent="0.3">
      <c r="A5">
        <v>3</v>
      </c>
      <c r="B5" t="s">
        <v>45</v>
      </c>
      <c r="C5">
        <v>1</v>
      </c>
      <c r="D5">
        <v>1400</v>
      </c>
      <c r="E5">
        <f t="shared" si="0"/>
        <v>1400</v>
      </c>
      <c r="I5" s="24" t="s">
        <v>19</v>
      </c>
      <c r="J5" s="24"/>
      <c r="K5" s="24"/>
      <c r="L5" s="24"/>
    </row>
    <row r="6" spans="1:12" x14ac:dyDescent="0.3">
      <c r="A6">
        <v>4</v>
      </c>
      <c r="B6" t="s">
        <v>7</v>
      </c>
      <c r="C6">
        <v>2</v>
      </c>
      <c r="D6">
        <v>380</v>
      </c>
      <c r="E6">
        <f t="shared" si="0"/>
        <v>760</v>
      </c>
    </row>
    <row r="7" spans="1:12" x14ac:dyDescent="0.3">
      <c r="A7">
        <v>5</v>
      </c>
      <c r="B7" t="s">
        <v>10</v>
      </c>
      <c r="C7">
        <v>3</v>
      </c>
      <c r="D7">
        <v>550</v>
      </c>
      <c r="E7">
        <f t="shared" si="0"/>
        <v>1650</v>
      </c>
    </row>
    <row r="8" spans="1:12" x14ac:dyDescent="0.3">
      <c r="A8">
        <v>6</v>
      </c>
      <c r="B8" t="s">
        <v>38</v>
      </c>
      <c r="C8">
        <v>1</v>
      </c>
      <c r="D8">
        <v>900</v>
      </c>
      <c r="E8">
        <f t="shared" si="0"/>
        <v>900</v>
      </c>
    </row>
    <row r="9" spans="1:12" x14ac:dyDescent="0.3">
      <c r="A9">
        <v>7</v>
      </c>
      <c r="B9" t="s">
        <v>39</v>
      </c>
      <c r="C9">
        <v>4</v>
      </c>
      <c r="D9" s="2">
        <v>150</v>
      </c>
      <c r="E9" s="4">
        <f t="shared" si="0"/>
        <v>600</v>
      </c>
    </row>
    <row r="10" spans="1:12" x14ac:dyDescent="0.3">
      <c r="A10">
        <v>8</v>
      </c>
      <c r="B10" t="s">
        <v>40</v>
      </c>
      <c r="C10">
        <v>1</v>
      </c>
      <c r="D10">
        <v>500</v>
      </c>
      <c r="E10">
        <f t="shared" si="0"/>
        <v>500</v>
      </c>
    </row>
    <row r="11" spans="1:12" x14ac:dyDescent="0.3">
      <c r="A11">
        <v>10</v>
      </c>
      <c r="B11" t="s">
        <v>41</v>
      </c>
      <c r="C11">
        <v>1</v>
      </c>
      <c r="D11">
        <v>230</v>
      </c>
      <c r="E11">
        <f t="shared" si="0"/>
        <v>230</v>
      </c>
    </row>
    <row r="12" spans="1:12" x14ac:dyDescent="0.3">
      <c r="A12">
        <v>11</v>
      </c>
      <c r="B12" s="8" t="s">
        <v>42</v>
      </c>
      <c r="C12">
        <v>1</v>
      </c>
      <c r="D12">
        <v>320</v>
      </c>
      <c r="E12">
        <f t="shared" si="0"/>
        <v>320</v>
      </c>
    </row>
    <row r="13" spans="1:12" x14ac:dyDescent="0.3">
      <c r="A13">
        <v>12</v>
      </c>
      <c r="B13" s="12" t="s">
        <v>43</v>
      </c>
      <c r="C13">
        <v>1</v>
      </c>
      <c r="D13">
        <v>240</v>
      </c>
      <c r="E13">
        <f>C13*D13</f>
        <v>240</v>
      </c>
    </row>
    <row r="14" spans="1:12" x14ac:dyDescent="0.3">
      <c r="A14">
        <v>13</v>
      </c>
      <c r="B14" t="s">
        <v>44</v>
      </c>
      <c r="C14">
        <v>1</v>
      </c>
      <c r="D14">
        <v>50</v>
      </c>
      <c r="E14">
        <f t="shared" si="0"/>
        <v>50</v>
      </c>
    </row>
    <row r="15" spans="1:12" x14ac:dyDescent="0.3">
      <c r="A15">
        <v>14</v>
      </c>
      <c r="B15" t="s">
        <v>46</v>
      </c>
      <c r="C15">
        <v>3</v>
      </c>
      <c r="D15">
        <v>320</v>
      </c>
      <c r="E15" s="4">
        <f t="shared" si="0"/>
        <v>960</v>
      </c>
    </row>
    <row r="16" spans="1:12" x14ac:dyDescent="0.3">
      <c r="A16">
        <v>15</v>
      </c>
      <c r="B16" t="s">
        <v>47</v>
      </c>
      <c r="C16">
        <v>1</v>
      </c>
      <c r="D16">
        <v>100</v>
      </c>
      <c r="E16" s="4">
        <f t="shared" si="0"/>
        <v>100</v>
      </c>
    </row>
    <row r="17" spans="1:5" x14ac:dyDescent="0.3">
      <c r="A17">
        <v>17</v>
      </c>
      <c r="B17" t="s">
        <v>8</v>
      </c>
      <c r="C17">
        <v>1</v>
      </c>
      <c r="D17">
        <v>50</v>
      </c>
      <c r="E17" s="4">
        <f t="shared" si="0"/>
        <v>50</v>
      </c>
    </row>
    <row r="18" spans="1:5" x14ac:dyDescent="0.3">
      <c r="D18" s="3" t="s">
        <v>4</v>
      </c>
      <c r="E18" s="3">
        <f>SUM(E3:E17)</f>
        <v>10420</v>
      </c>
    </row>
    <row r="25" spans="1:5" ht="18" x14ac:dyDescent="0.35">
      <c r="A25" s="22" t="s">
        <v>6</v>
      </c>
      <c r="B25" s="23"/>
      <c r="C25" s="23"/>
      <c r="D25" s="23"/>
      <c r="E25" s="23"/>
    </row>
    <row r="26" spans="1:5" x14ac:dyDescent="0.3">
      <c r="A26">
        <v>1</v>
      </c>
      <c r="B26" t="s">
        <v>11</v>
      </c>
      <c r="C26">
        <v>1</v>
      </c>
      <c r="D26">
        <v>680</v>
      </c>
      <c r="E26" s="4">
        <v>680</v>
      </c>
    </row>
    <row r="27" spans="1:5" x14ac:dyDescent="0.3">
      <c r="A27">
        <v>2</v>
      </c>
      <c r="B27" t="s">
        <v>12</v>
      </c>
      <c r="C27">
        <v>1</v>
      </c>
      <c r="D27">
        <v>1320</v>
      </c>
      <c r="E27" s="4">
        <v>1320</v>
      </c>
    </row>
    <row r="28" spans="1:5" x14ac:dyDescent="0.3">
      <c r="A28">
        <v>4</v>
      </c>
      <c r="B28" t="s">
        <v>13</v>
      </c>
      <c r="C28">
        <v>1</v>
      </c>
      <c r="D28">
        <v>500</v>
      </c>
      <c r="E28" s="4">
        <v>500</v>
      </c>
    </row>
    <row r="29" spans="1:5" x14ac:dyDescent="0.3">
      <c r="A29">
        <v>5</v>
      </c>
      <c r="B29" t="s">
        <v>14</v>
      </c>
      <c r="C29">
        <v>1</v>
      </c>
      <c r="D29">
        <v>420</v>
      </c>
      <c r="E29">
        <v>420</v>
      </c>
    </row>
    <row r="30" spans="1:5" x14ac:dyDescent="0.3">
      <c r="A30">
        <v>6</v>
      </c>
      <c r="B30" t="s">
        <v>15</v>
      </c>
      <c r="C30">
        <v>1</v>
      </c>
      <c r="D30">
        <v>1900</v>
      </c>
      <c r="E30" s="4">
        <v>1900</v>
      </c>
    </row>
    <row r="31" spans="1:5" x14ac:dyDescent="0.3">
      <c r="A31">
        <v>7</v>
      </c>
      <c r="B31" t="s">
        <v>16</v>
      </c>
      <c r="C31">
        <v>1</v>
      </c>
      <c r="D31">
        <v>100</v>
      </c>
      <c r="E31" s="4">
        <v>100</v>
      </c>
    </row>
    <row r="32" spans="1:5" x14ac:dyDescent="0.3">
      <c r="A32">
        <v>8</v>
      </c>
      <c r="B32" t="s">
        <v>20</v>
      </c>
      <c r="C32">
        <v>10</v>
      </c>
      <c r="D32">
        <v>15</v>
      </c>
      <c r="E32" s="5">
        <v>150</v>
      </c>
    </row>
    <row r="33" spans="1:5" x14ac:dyDescent="0.3">
      <c r="A33">
        <v>9</v>
      </c>
      <c r="B33" t="s">
        <v>17</v>
      </c>
      <c r="C33">
        <v>1</v>
      </c>
      <c r="D33">
        <v>75</v>
      </c>
      <c r="E33">
        <v>75</v>
      </c>
    </row>
    <row r="34" spans="1:5" x14ac:dyDescent="0.3">
      <c r="A34">
        <v>10</v>
      </c>
      <c r="B34" t="s">
        <v>21</v>
      </c>
      <c r="C34">
        <v>30</v>
      </c>
      <c r="D34">
        <v>10</v>
      </c>
      <c r="E34">
        <v>300</v>
      </c>
    </row>
    <row r="35" spans="1:5" x14ac:dyDescent="0.3">
      <c r="A35">
        <v>11</v>
      </c>
      <c r="B35" t="s">
        <v>18</v>
      </c>
      <c r="C35">
        <v>2</v>
      </c>
      <c r="D35">
        <v>15</v>
      </c>
      <c r="E35">
        <v>30</v>
      </c>
    </row>
    <row r="36" spans="1:5" x14ac:dyDescent="0.3">
      <c r="A36">
        <v>12</v>
      </c>
      <c r="B36" t="s">
        <v>28</v>
      </c>
      <c r="C36">
        <v>1</v>
      </c>
      <c r="D36">
        <v>250</v>
      </c>
      <c r="E36">
        <v>250</v>
      </c>
    </row>
    <row r="37" spans="1:5" x14ac:dyDescent="0.3">
      <c r="A37">
        <v>13</v>
      </c>
      <c r="B37" t="s">
        <v>62</v>
      </c>
      <c r="C37">
        <v>1</v>
      </c>
      <c r="D37">
        <v>130</v>
      </c>
      <c r="E37">
        <f>C37*D37</f>
        <v>130</v>
      </c>
    </row>
    <row r="38" spans="1:5" x14ac:dyDescent="0.3">
      <c r="E38">
        <f>SUM(E29,E32,E33,E35,E34,E36,E37)</f>
        <v>1355</v>
      </c>
    </row>
    <row r="39" spans="1:5" x14ac:dyDescent="0.3">
      <c r="D39" s="3" t="s">
        <v>22</v>
      </c>
      <c r="E39" s="3">
        <f>SUM(E26:E37)</f>
        <v>5855</v>
      </c>
    </row>
  </sheetData>
  <mergeCells count="3">
    <mergeCell ref="A2:E2"/>
    <mergeCell ref="A25:E25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145B-80AD-48C0-B442-5003BC8AD916}">
  <dimension ref="A1:M43"/>
  <sheetViews>
    <sheetView tabSelected="1" topLeftCell="A9" zoomScale="96" zoomScaleNormal="96" workbookViewId="0">
      <selection activeCell="B32" sqref="B32:J33"/>
    </sheetView>
  </sheetViews>
  <sheetFormatPr defaultRowHeight="14.4" x14ac:dyDescent="0.3"/>
  <cols>
    <col min="1" max="1" width="8.88671875" customWidth="1"/>
    <col min="2" max="2" width="9.44140625" customWidth="1"/>
  </cols>
  <sheetData>
    <row r="1" spans="1:10" x14ac:dyDescent="0.3">
      <c r="A1" s="14" t="s">
        <v>36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">
      <c r="A2" s="3" t="s">
        <v>9</v>
      </c>
      <c r="B2" s="16" t="s">
        <v>1</v>
      </c>
      <c r="C2" s="16"/>
      <c r="D2" s="16"/>
      <c r="E2" s="16"/>
      <c r="F2" s="16"/>
      <c r="G2" s="16"/>
      <c r="H2" s="16"/>
      <c r="I2" s="16"/>
      <c r="J2" s="16"/>
    </row>
    <row r="3" spans="1:10" x14ac:dyDescent="0.3">
      <c r="A3" t="s">
        <v>29</v>
      </c>
      <c r="B3" s="13" t="s">
        <v>64</v>
      </c>
      <c r="C3" s="13"/>
      <c r="D3" s="13"/>
      <c r="E3" s="13"/>
      <c r="F3" s="13"/>
      <c r="G3" s="13"/>
      <c r="H3" s="13"/>
      <c r="I3" s="13"/>
      <c r="J3" s="13"/>
    </row>
    <row r="4" spans="1:10" x14ac:dyDescent="0.3">
      <c r="A4" t="s">
        <v>32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3">
      <c r="A5" t="s">
        <v>30</v>
      </c>
      <c r="B5" s="13" t="s">
        <v>42</v>
      </c>
      <c r="C5" s="13"/>
      <c r="D5" s="13"/>
      <c r="E5" s="13"/>
      <c r="F5" s="13"/>
      <c r="G5" s="13"/>
      <c r="H5" s="13"/>
      <c r="I5" s="13"/>
      <c r="J5" s="13"/>
    </row>
    <row r="6" spans="1:10" x14ac:dyDescent="0.3">
      <c r="A6" t="s">
        <v>33</v>
      </c>
      <c r="B6" s="13" t="s">
        <v>52</v>
      </c>
      <c r="C6" s="13"/>
      <c r="D6" s="13"/>
      <c r="E6" s="13"/>
      <c r="F6" s="13"/>
      <c r="G6" s="13"/>
      <c r="H6" s="13"/>
      <c r="I6" s="13"/>
      <c r="J6" s="13"/>
    </row>
    <row r="7" spans="1:10" x14ac:dyDescent="0.3">
      <c r="A7" t="s">
        <v>31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3">
      <c r="A8" t="s">
        <v>34</v>
      </c>
      <c r="B8" s="13" t="s">
        <v>51</v>
      </c>
      <c r="C8" s="13"/>
      <c r="D8" s="13"/>
      <c r="E8" s="13"/>
      <c r="F8" s="13"/>
      <c r="G8" s="13"/>
      <c r="H8" s="13"/>
      <c r="I8" s="13"/>
      <c r="J8" s="13"/>
    </row>
    <row r="9" spans="1:10" x14ac:dyDescent="0.3">
      <c r="A9" t="s">
        <v>35</v>
      </c>
      <c r="B9" s="13"/>
      <c r="C9" s="13"/>
      <c r="D9" s="13"/>
      <c r="E9" s="13"/>
      <c r="F9" s="13"/>
      <c r="G9" s="13"/>
      <c r="H9" s="13"/>
      <c r="I9" s="13"/>
      <c r="J9" s="13"/>
    </row>
    <row r="10" spans="1:10" x14ac:dyDescent="0.3">
      <c r="A10" t="s">
        <v>48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3">
      <c r="A11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 x14ac:dyDescent="0.3">
      <c r="A12" t="s">
        <v>50</v>
      </c>
      <c r="B12" s="13" t="s">
        <v>58</v>
      </c>
      <c r="C12" s="13"/>
      <c r="D12" s="13"/>
      <c r="E12" s="13"/>
      <c r="F12" s="13"/>
      <c r="G12" s="13"/>
      <c r="H12" s="13"/>
      <c r="I12" s="13"/>
      <c r="J12" s="13"/>
    </row>
    <row r="13" spans="1:10" x14ac:dyDescent="0.3">
      <c r="A13" t="s">
        <v>54</v>
      </c>
      <c r="B13" s="13" t="s">
        <v>59</v>
      </c>
      <c r="C13" s="13"/>
      <c r="D13" s="13"/>
      <c r="E13" s="13"/>
      <c r="F13" s="13"/>
      <c r="G13" s="13"/>
      <c r="H13" s="13"/>
      <c r="I13" s="13"/>
      <c r="J13" s="13"/>
    </row>
    <row r="14" spans="1:10" x14ac:dyDescent="0.3">
      <c r="A14" t="s">
        <v>55</v>
      </c>
      <c r="B14" s="13" t="s">
        <v>60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3"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3">
      <c r="B16" s="9"/>
      <c r="C16" s="9"/>
      <c r="D16" s="9"/>
      <c r="E16" s="9"/>
      <c r="F16" s="9"/>
      <c r="G16" s="9"/>
      <c r="H16" s="9"/>
      <c r="I16" s="9"/>
      <c r="J16" s="9"/>
    </row>
    <row r="17" spans="1:13" x14ac:dyDescent="0.3">
      <c r="A17" s="3" t="s">
        <v>23</v>
      </c>
      <c r="K17" s="10"/>
    </row>
    <row r="18" spans="1:13" x14ac:dyDescent="0.3">
      <c r="A18" t="s">
        <v>56</v>
      </c>
      <c r="B18" s="13" t="s">
        <v>57</v>
      </c>
      <c r="C18" s="13"/>
      <c r="D18" s="13"/>
      <c r="E18" s="13"/>
      <c r="F18" s="13"/>
      <c r="G18" s="13"/>
      <c r="H18" s="13"/>
      <c r="I18" s="13"/>
      <c r="J18" s="13"/>
      <c r="K18" s="10"/>
    </row>
    <row r="19" spans="1:13" x14ac:dyDescent="0.3">
      <c r="A19" t="s">
        <v>61</v>
      </c>
      <c r="B19" s="13"/>
      <c r="C19" s="13"/>
      <c r="D19" s="13"/>
      <c r="E19" s="13"/>
      <c r="F19" s="13"/>
      <c r="G19" s="13"/>
      <c r="H19" s="13"/>
      <c r="I19" s="13"/>
      <c r="J19" s="13"/>
    </row>
    <row r="21" spans="1:13" x14ac:dyDescent="0.3">
      <c r="A21" s="3" t="s">
        <v>24</v>
      </c>
    </row>
    <row r="22" spans="1:13" x14ac:dyDescent="0.3">
      <c r="A22" t="s">
        <v>25</v>
      </c>
      <c r="B22" s="13" t="s">
        <v>65</v>
      </c>
      <c r="C22" s="13"/>
      <c r="D22" s="13"/>
      <c r="E22" s="13"/>
      <c r="F22" s="13"/>
      <c r="G22" s="13"/>
      <c r="H22" s="13"/>
      <c r="I22" s="13"/>
      <c r="J22" s="13"/>
    </row>
    <row r="23" spans="1:13" x14ac:dyDescent="0.3">
      <c r="A23" t="s">
        <v>26</v>
      </c>
    </row>
    <row r="24" spans="1:13" x14ac:dyDescent="0.3">
      <c r="A24" t="s">
        <v>27</v>
      </c>
      <c r="B24" s="10"/>
      <c r="C24" s="10"/>
      <c r="D24" s="10"/>
      <c r="E24" s="10"/>
      <c r="F24" s="10"/>
      <c r="G24" s="10"/>
      <c r="H24" s="10"/>
      <c r="I24" s="10"/>
      <c r="J24" s="10"/>
    </row>
    <row r="27" spans="1:13" x14ac:dyDescent="0.3">
      <c r="A27" s="18" t="s">
        <v>64</v>
      </c>
      <c r="B27" s="19"/>
      <c r="C27" s="19"/>
      <c r="D27" s="19"/>
      <c r="E27" s="19"/>
      <c r="F27" s="19"/>
      <c r="G27" s="19"/>
      <c r="H27" s="19"/>
      <c r="I27" s="19"/>
      <c r="J27" s="19"/>
    </row>
    <row r="28" spans="1:13" x14ac:dyDescent="0.3">
      <c r="A28" t="s">
        <v>66</v>
      </c>
      <c r="B28" s="13" t="s">
        <v>68</v>
      </c>
      <c r="C28" s="13"/>
      <c r="D28" s="13"/>
      <c r="E28" s="13"/>
      <c r="F28" s="13"/>
      <c r="G28" s="13"/>
      <c r="H28" s="13"/>
      <c r="I28" s="13"/>
      <c r="J28" s="13"/>
      <c r="K28" s="6"/>
    </row>
    <row r="29" spans="1:13" x14ac:dyDescent="0.3">
      <c r="A29" t="s">
        <v>67</v>
      </c>
      <c r="B29" s="13" t="s">
        <v>69</v>
      </c>
      <c r="C29" s="13"/>
      <c r="D29" s="13"/>
      <c r="E29" s="13"/>
      <c r="F29" s="13"/>
      <c r="G29" s="13"/>
      <c r="H29" s="13"/>
      <c r="I29" s="13"/>
      <c r="J29" s="13"/>
    </row>
    <row r="30" spans="1:13" x14ac:dyDescent="0.3">
      <c r="A30" t="s">
        <v>55</v>
      </c>
      <c r="B30" s="17" t="s">
        <v>63</v>
      </c>
      <c r="C30" s="17"/>
      <c r="D30" s="17"/>
      <c r="E30" s="17"/>
      <c r="F30" s="17"/>
      <c r="G30" s="17"/>
      <c r="H30" s="17"/>
      <c r="I30" s="17"/>
      <c r="J30" s="17"/>
      <c r="K30" s="7"/>
      <c r="L30" s="6"/>
      <c r="M30" s="6"/>
    </row>
    <row r="31" spans="1:13" x14ac:dyDescent="0.3">
      <c r="A31" t="s">
        <v>70</v>
      </c>
      <c r="B31" s="17" t="s">
        <v>73</v>
      </c>
      <c r="C31" s="17"/>
      <c r="D31" s="17"/>
      <c r="E31" s="17"/>
      <c r="F31" s="17"/>
      <c r="G31" s="17"/>
      <c r="H31" s="17"/>
      <c r="I31" s="17"/>
      <c r="J31" s="17"/>
    </row>
    <row r="32" spans="1:13" x14ac:dyDescent="0.3">
      <c r="A32" t="s">
        <v>71</v>
      </c>
      <c r="B32" s="13" t="s">
        <v>53</v>
      </c>
      <c r="C32" s="13"/>
      <c r="D32" s="13"/>
      <c r="E32" s="13"/>
      <c r="F32" s="13"/>
      <c r="G32" s="13"/>
      <c r="H32" s="13"/>
      <c r="I32" s="13"/>
      <c r="J32" s="13"/>
    </row>
    <row r="33" spans="1:10" x14ac:dyDescent="0.3">
      <c r="A33" t="s">
        <v>72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3">
      <c r="A34" s="11" t="s">
        <v>26</v>
      </c>
    </row>
    <row r="35" spans="1:10" x14ac:dyDescent="0.3">
      <c r="A35" s="7"/>
    </row>
    <row r="39" spans="1:10" x14ac:dyDescent="0.3">
      <c r="E39" s="7"/>
    </row>
    <row r="40" spans="1:10" x14ac:dyDescent="0.3">
      <c r="E40" s="7"/>
      <c r="F40" s="7"/>
    </row>
    <row r="42" spans="1:10" x14ac:dyDescent="0.3">
      <c r="E42" s="7"/>
      <c r="F42" s="7"/>
    </row>
    <row r="43" spans="1:10" x14ac:dyDescent="0.3">
      <c r="E43" s="7"/>
      <c r="F43" s="7"/>
    </row>
  </sheetData>
  <mergeCells count="18">
    <mergeCell ref="A27:J27"/>
    <mergeCell ref="B28:J28"/>
    <mergeCell ref="B29:J29"/>
    <mergeCell ref="B30:J30"/>
    <mergeCell ref="B31:J31"/>
    <mergeCell ref="B32:J33"/>
    <mergeCell ref="A1:J1"/>
    <mergeCell ref="B2:J2"/>
    <mergeCell ref="B14:J14"/>
    <mergeCell ref="B18:J18"/>
    <mergeCell ref="B19:J19"/>
    <mergeCell ref="B5:J5"/>
    <mergeCell ref="B3:J4"/>
    <mergeCell ref="B22:J22"/>
    <mergeCell ref="B6:J7"/>
    <mergeCell ref="B8:J11"/>
    <mergeCell ref="B12:J12"/>
    <mergeCell ref="B13:J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Structure</vt:lpstr>
      <vt:lpstr>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LANSAKARA L M W K</cp:lastModifiedBy>
  <dcterms:created xsi:type="dcterms:W3CDTF">2026-02-27T04:00:27Z</dcterms:created>
  <dcterms:modified xsi:type="dcterms:W3CDTF">2026-04-19T05:37:08Z</dcterms:modified>
</cp:coreProperties>
</file>